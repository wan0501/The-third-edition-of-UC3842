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9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<sst xmlns="http://schemas.openxmlformats.org/spreadsheetml/2006/main" count="12" uniqueCount="12">
  <si>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LC串联谐振频率计算</t>
  </si>
  <si>
    <t>LC串联谐振电路</t>
  </si>
  <si>
    <t>电感L（uH）</t>
  </si>
  <si>
    <t>电容C（uF）</t>
  </si>
  <si>
    <t>谐振频率f（kHz）</t>
  </si>
  <si>
    <t>LC回路串联电阻（R）</t>
  </si>
  <si>
    <t>谐振增益</t>
  </si>
  <si>
    <t>LC谐振电路并联RC网络取值</t>
  </si>
  <si>
    <t>滤波电容（uf）</t>
  </si>
  <si>
    <t>滤波电阻（K）</t>
  </si>
  <si>
    <t>C2大于C110倍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</si>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</sst>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top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vertical="top"/>
      <protection locked="0"/>
    </xf>
    <xf numFmtId="0" fontId="2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top"/>
    </xf>
    <xf numFmtId="0" fontId="2" fillId="0" borderId="0" xfId="0" applyFont="1" applyAlignment="1" applyProtection="1">
      <alignment vertical="top" wrapText="1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top" wrapText="1"/>
    </xf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104775</xdr:colOff>
      <xdr:row>8</xdr:row>
      <xdr:rowOff>111760</xdr:rowOff>
    </xdr:from>
    <xdr:to>
      <xdr:col>4</xdr:col>
      <xdr:colOff>576580</xdr:colOff>
      <xdr:row>12</xdr:row>
      <xdr:rowOff>185420</xdr:rowOff>
    </xdr:to>
    <xdr:pic>
      <xdr:nvPicPr>
        <xdr:cNvPr id="2" name="图片 1" descr="资源 1@4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80665" y="1954530"/>
          <a:ext cx="4140200" cy="86614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1</xdr:row>
      <xdr:rowOff>106680</xdr:rowOff>
    </xdr:from>
    <xdr:to>
      <xdr:col>10</xdr:col>
      <xdr:colOff>403860</xdr:colOff>
      <xdr:row>9</xdr:row>
      <xdr:rowOff>45720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25385" y="365125"/>
          <a:ext cx="3175635" cy="1687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60" zoomScaleNormal="160" workbookViewId="0">
      <selection activeCell="D18" sqref="D18"/>
    </sheetView>
  </sheetViews>
  <sheetFormatPr defaultColWidth="9" defaultRowHeight="12.9"/>
  <cols>
    <col min="1" max="1" width="20.3302752293578" style="1" customWidth="1"/>
    <col min="2" max="2" width="18.3302752293578" style="1" customWidth="1"/>
    <col min="3" max="3" width="26.1100917431193" style="1" customWidth="1"/>
    <col min="4" max="4" width="26.8899082568807" style="1" customWidth="1"/>
    <col min="5" max="5" width="12.1100917431193" style="1" customWidth="1"/>
    <col min="6" max="16384" width="9" style="1"/>
  </cols>
  <sheetData>
    <row r="1" ht="20.35" spans="1:12">
      <c r="A1" s="2" t="s">
        <v>0</v>
      </c>
      <c r="B1" s="3"/>
      <c r="C1" s="3"/>
      <c r="D1" s="3"/>
      <c r="E1" s="3"/>
      <c r="F1" s="4" t="s">
        <v>1</v>
      </c>
      <c r="G1" s="4"/>
      <c r="H1" s="4"/>
      <c r="I1" s="4"/>
      <c r="J1" s="4"/>
      <c r="K1" s="4"/>
    </row>
    <row r="2" ht="18.3" spans="1:12">
      <c r="A2" s="5" t="s">
        <v>2</v>
      </c>
      <c r="B2" s="5" t="s">
        <v>3</v>
      </c>
      <c r="C2" s="5" t="s">
        <v>4</v>
      </c>
      <c r="D2" s="6" t="s">
        <v>5</v>
      </c>
      <c r="E2" s="7" t="s">
        <v>6</v>
      </c>
      <c r="F2" s="4"/>
      <c r="G2" s="4"/>
      <c r="H2" s="4"/>
      <c r="I2" s="4"/>
      <c r="J2" s="4"/>
      <c r="K2" s="4"/>
    </row>
    <row r="3" ht="18.3" spans="1:12">
      <c r="A3" s="5">
        <v>130</v>
      </c>
      <c r="B3" s="5">
        <v>0.00065</v>
      </c>
      <c r="C3" s="8">
        <f>0.001/(2*PI()*SQRT(A3*B3*10^(-12)))</f>
        <v>547.509648782444</v>
      </c>
      <c r="D3" s="6">
        <v>0.1</v>
      </c>
      <c r="E3" s="9">
        <f>SQRT(A3/B3)/D3</f>
        <v>4472.13595499958</v>
      </c>
      <c r="F3" s="4"/>
      <c r="G3" s="4"/>
      <c r="H3" s="4"/>
      <c r="I3" s="4"/>
      <c r="J3" s="4"/>
      <c r="K3" s="4"/>
    </row>
    <row r="4" ht="18.3" spans="1:12">
      <c r="A4" s="10"/>
      <c r="B4" s="10"/>
      <c r="C4" s="10"/>
      <c r="D4" s="10"/>
      <c r="E4" s="10"/>
      <c r="F4" s="4"/>
      <c r="G4" s="4"/>
      <c r="H4" s="4"/>
      <c r="I4" s="4"/>
      <c r="J4" s="4"/>
      <c r="K4" s="4"/>
    </row>
    <row r="5" ht="20.35" spans="1:12">
      <c r="A5" s="11" t="s">
        <v>7</v>
      </c>
      <c r="B5" s="11"/>
      <c r="C5" s="11"/>
      <c r="D5" s="11"/>
      <c r="E5" s="11"/>
      <c r="F5" s="4"/>
      <c r="G5" s="4"/>
      <c r="H5" s="4"/>
      <c r="I5" s="4"/>
      <c r="J5" s="4"/>
      <c r="K5" s="4"/>
    </row>
    <row r="6" ht="18.3" spans="1:12">
      <c r="A6" s="12" t="s">
        <v>8</v>
      </c>
      <c r="B6" s="12"/>
      <c r="C6" s="12"/>
      <c r="D6" s="12" t="s">
        <v>9</v>
      </c>
      <c r="E6" s="12"/>
      <c r="F6" s="4"/>
      <c r="G6" s="4"/>
      <c r="H6" s="4"/>
      <c r="I6" s="4"/>
      <c r="J6" s="4"/>
      <c r="K6" s="4"/>
    </row>
    <row r="7" ht="18.3" spans="1:12">
      <c r="A7" s="13">
        <f>B3*10</f>
        <v>0.0065</v>
      </c>
      <c r="B7" s="13"/>
      <c r="C7" s="13"/>
      <c r="D7" s="14">
        <f>1/(2*PI()*C3*A7/10)</f>
        <v>0.447213595499958</v>
      </c>
      <c r="E7" s="14"/>
      <c r="F7" s="4"/>
      <c r="G7" s="4"/>
      <c r="H7" s="4"/>
      <c r="I7" s="4"/>
      <c r="J7" s="4"/>
      <c r="K7" s="4"/>
      <c r="L7" s="1" t="s">
        <v>10</v>
      </c>
    </row>
    <row r="8" spans="1:12">
      <c r="A8" s="15"/>
      <c r="B8" s="15"/>
      <c r="C8" s="15"/>
      <c r="D8" s="15"/>
      <c r="E8" s="15"/>
      <c r="F8" s="4"/>
      <c r="G8" s="4"/>
      <c r="H8" s="4"/>
      <c r="I8" s="4"/>
      <c r="J8" s="4"/>
      <c r="K8" s="4"/>
    </row>
    <row r="9" spans="1:12">
      <c r="A9" s="15"/>
      <c r="B9" s="15"/>
      <c r="C9" s="15"/>
      <c r="D9" s="15"/>
      <c r="E9" s="15"/>
      <c r="F9" s="4"/>
      <c r="G9" s="4"/>
      <c r="H9" s="4"/>
      <c r="I9" s="4"/>
      <c r="J9" s="4"/>
      <c r="K9" s="4"/>
    </row>
    <row r="10" spans="1:12">
      <c r="A10" s="15"/>
      <c r="B10" s="15"/>
      <c r="C10" s="15"/>
      <c r="D10" s="15"/>
      <c r="E10" s="15"/>
      <c r="F10" s="4"/>
      <c r="G10" s="4"/>
      <c r="H10" s="4"/>
      <c r="I10" s="4"/>
      <c r="J10" s="4"/>
      <c r="K10" s="4"/>
    </row>
    <row r="11" ht="18.3" spans="1:12">
      <c r="A11" s="15"/>
      <c r="B11" s="15"/>
      <c r="C11" s="15"/>
      <c r="D11" s="15"/>
      <c r="E11" s="15"/>
      <c r="F11" s="16"/>
      <c r="G11" s="16"/>
      <c r="H11" s="16"/>
      <c r="I11" s="16"/>
    </row>
    <row r="12" ht="18.3" spans="1:12">
      <c r="A12" s="15"/>
      <c r="B12" s="15"/>
      <c r="C12" s="15"/>
      <c r="D12" s="15"/>
      <c r="E12" s="15"/>
      <c r="F12" s="16"/>
      <c r="G12" s="16"/>
      <c r="H12" s="16"/>
      <c r="I12" s="16"/>
    </row>
    <row r="13" ht="18.3" spans="1:12">
      <c r="A13" s="15"/>
      <c r="B13" s="15"/>
      <c r="C13" s="15"/>
      <c r="D13" s="15"/>
      <c r="E13" s="15"/>
      <c r="F13" s="17"/>
      <c r="G13" s="17"/>
      <c r="H13" s="17"/>
    </row>
    <row r="14" ht="18.3" spans="1:12">
      <c r="A14" s="15"/>
      <c r="B14" s="15"/>
      <c r="C14" s="15"/>
      <c r="D14" s="15"/>
      <c r="E14" s="15"/>
      <c r="F14" s="17"/>
      <c r="G14" s="17"/>
      <c r="H14" s="17"/>
    </row>
    <row r="15" ht="18.3" spans="1:12">
      <c r="A15" s="17"/>
      <c r="B15" s="17"/>
      <c r="C15" s="17"/>
      <c r="D15" s="17"/>
      <c r="E15" s="17"/>
      <c r="F15" s="17"/>
      <c r="G15" s="17"/>
      <c r="H15" s="17"/>
    </row>
    <row r="16" ht="18.3" spans="1:12">
      <c r="A16" s="17"/>
      <c r="B16" s="17"/>
      <c r="C16" s="17"/>
      <c r="D16" s="17"/>
      <c r="E16" s="17"/>
      <c r="F16" s="17"/>
      <c r="G16" s="17"/>
      <c r="H16" s="17"/>
    </row>
    <row r="17" ht="18.35" spans="1:8">
      <c r="A17" s="17"/>
      <c r="B17" s="17"/>
      <c r="C17" s="17"/>
      <c r="D17" s="17"/>
      <c r="E17" s="17" t="s">
        <v>11</v>
      </c>
      <c r="F17" s="17"/>
      <c r="G17" s="17"/>
      <c r="H17" s="17"/>
    </row>
    <row r="18" ht="18.3" spans="1:8">
      <c r="A18" s="17"/>
      <c r="B18" s="17"/>
      <c r="C18" s="17"/>
      <c r="D18" s="17"/>
      <c r="E18" s="17"/>
      <c r="F18" s="17"/>
      <c r="G18" s="17"/>
      <c r="H18" s="17"/>
    </row>
  </sheetData>
  <sheetProtection password="D29D" sheet="1" objects="1"/>
  <mergeCells count="8">
    <mergeCell ref="A1:E1"/>
    <mergeCell ref="A5:E5"/>
    <mergeCell ref="A6:C6"/>
    <mergeCell ref="D6:E6"/>
    <mergeCell ref="A7:C7"/>
    <mergeCell ref="D7:E7"/>
    <mergeCell ref="F1:K10"/>
    <mergeCell ref="A8:E1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无言尽语</cp:lastModifiedBy>
  <dcterms:created xsi:type="dcterms:W3CDTF">2021-01-20T15:00:00Z</dcterms:created>
  <dcterms:modified xsi:type="dcterms:W3CDTF">2026-01-20T14:58:59Z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C4ED9BD99E334973BF55B561A8C2D9CC</vt:lpwstr>
  </property>
  <property fmtid="{D5CDD505-2E9C-101B-9397-08002B2CF9AE}" pid="4" name="CalculationRule">
    <vt:i4>0</vt:i4>
  </property>
</Properties>
</file>